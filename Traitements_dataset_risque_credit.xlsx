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Journal transformations" sheetId="1" state="visible" r:id="rId3"/>
    <sheet name="Impact performance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<sst xmlns="http://schemas.openxmlformats.org/spreadsheetml/2006/main" count="99" uniqueCount="99">
  <si>
    <t xml:space="preserve">N°</t>
  </si>
  <si>
    <t xml:space="preserve">Étape du pipeline</t>
  </si>
  <si>
    <t xml:space="preserve">Variables concernées</t>
  </si>
  <si>
    <t xml:space="preserve">Anomalie détectée (manquants / aberrants)</t>
  </si>
  <si>
    <t xml:space="preserve">Constat chiffré</t>
  </si>
  <si>
    <t xml:space="preserve">Traitement appliqué</t>
  </si>
  <si>
    <t xml:space="preserve">Justification méthodologique</t>
  </si>
  <si>
    <t xml:space="preserve">Lignes après</t>
  </si>
  <si>
    <t xml:space="preserve">Colonnes après</t>
  </si>
  <si>
    <t xml:space="preserve">Fusion des 4 sources et construction de la cible</t>
  </si>
  <si>
    <t xml:space="preserve">prod, Impayé, MEJ, Ind financiers ; NBRE_JOUR_IMPAYE, MONTANT_DEMANDE_MEJ</t>
  </si>
  <si>
    <t xml:space="preserve">Table Impayé en format long (plusieurs arrêtés par crédit) ; table MEJ avec doublons de demande par crédit ; indicateurs financiers en format long (1 ligne par indicateur)</t>
  </si>
  <si>
    <t xml:space="preserve">Impayé : plusieurs lignes par IDENTIFIANT_CREDIT (arrêtés 2021 à 2025). MEJ : jusqu'à 2 demandes pour un même crédit (indemnisation provisoire puis définitive). Cohérence temporelle vérifiée : octrois concentrés sur 2018 (348 dossiers) et 2019 (498), états financiers arrêtés à 2019, défauts observés sur 2021-2025 (impayés) et 2019-2025 (MEJ)</t>
  </si>
  <si>
    <t xml:space="preserve">Agrégation Impayé par somme sur IDENTIFIANT_CREDIT ; déduplication MEJ (1re occurrence) ; pivot des indicateurs financiers en format large ; filtre DATEEXER &lt;= 2019 fixant le point d'observation au 31/12/2019 ; DEFAUT = 1 si impayé OU MEJ renseigné</t>
  </si>
  <si>
    <t xml:space="preserve">Une ligne par dossier de crédit est nécessaire pour la modélisation. Le filtre DATEEXER &lt;= 2019 matérialise le protocole retenu : l'étude se place au 31/12/2019 (position d'un analyste début 2020) et n'utilise que l'information disponible à cette date, puis évalue a posteriori la survenance du défaut sur l'horizon 2020-2025. Ce design out-of-time est plus exigeant qu'une validation croisée classique et reflète les conditions réelles d'octroi. La double condition de défaut suit la définition réglementaire (arriéré ou improbabilité de paiement)</t>
  </si>
  <si>
    <t xml:space="preserve">Suppression des variables fuyantes et des identifiants</t>
  </si>
  <si>
    <t xml:space="preserve">NBRE_JOUR_IMPAYE, MONTANT_DEMANDE_MEJ, CLASSE_RISQUE, FINALITE_CREDIT, IDENTIFIANT_TIERS, IDENTIFIANT_CREDIT</t>
  </si>
  <si>
    <t xml:space="preserve">Variables ayant servi à construire la cible ; notation de risque potentiellement post-octroi ; variable constante ; identifiants sans pouvoir prédictif</t>
  </si>
  <si>
    <t xml:space="preserve">NBRE_JOUR_IMPAYE : 84 % de manquants (renseigné uniquement pour les défauts) ; MONTANT_DEMANDE_MEJ : 97 % de manquants ; FINALITE_CREDIT : 1 seule modalité ; IDENTIFIANT_TIERS : 642 valeurs uniques</t>
  </si>
  <si>
    <t xml:space="preserve">Suppression des 6 colonnes</t>
  </si>
  <si>
    <t xml:space="preserve">Conserver NBRE_JOUR_IMPAYE ou MONTANT_DEMANDE_MEJ aurait produit une fuite de données totale (AUC proche de 1, modèle inutilisable). FINALITE_CREDIT constante n'apporte aucune variance. Les identifiants n'ont pas de sens prédictif</t>
  </si>
  <si>
    <t xml:space="preserve">Feature engineering des dates</t>
  </si>
  <si>
    <t xml:space="preserve">DATE_CREATION_ENTREPRISE, DATE_ACCORD, DATE_PREMIER_DEBLOCAGE</t>
  </si>
  <si>
    <t xml:space="preserve">Dates stockées en texte (JJ/MM/AAAA), inexploitables par les modèles ; forte proportion de manquants sur la date de déblocage</t>
  </si>
  <si>
    <t xml:space="preserve">DATE_CREATION_ENTREPRISE : 3,1 % de manquants (26 lignes) ; DATE_PREMIER_DEBLOCAGE : 45,2 % de manquants ; DATE_ACCORD : 0 % de manquants</t>
  </si>
  <si>
    <t xml:space="preserve">Conversion en datetime ; création de AGE_ENTREPRISE_ANS = (DATE_ACCORD - DATE_CREATION_ENTREPRISE) / 365,25 ; suppression des colonnes de dates brutes et de AGE_ENTREPRISE_JOURS (doublon parfait de AGE_ENTREPRISE_ANS)</t>
  </si>
  <si>
    <t xml:space="preserve">Une date brute n'a pas de sens pour un modèle ; c'est la durée qui porte le signal (maturité de l'entreprise). AGE_ENTREPRISE_ANS ressort n°1 en importance Random Forest (0,047). Le doublon JOURS/ANS aurait faussé le classement d'importance</t>
  </si>
  <si>
    <t xml:space="preserve">Normalisation des variables d'échéancier</t>
  </si>
  <si>
    <t xml:space="preserve">DUREE_CONCOURS, UNITE_DUREE_CONCOURS, PERIODICITE</t>
  </si>
  <si>
    <t xml:space="preserve">Durée exprimée dans deux unités différentes selon les dossiers ; périodicité en texte non ordonnée ; quelques valeurs manquantes</t>
  </si>
  <si>
    <t xml:space="preserve">UNITE_DUREE_CONCOURS : 2 modalités ('mois', 'an(s)') → une durée de 5 pouvait valoir 5 ou 60 mois ; DUREE_CONCOURS : 8 manquants ; PERIODICITE : 5 modalités + valeurs manquantes</t>
  </si>
  <si>
    <t xml:space="preserve">DUREE_CONCOURS_MOIS (uniformisation en mois) ; PERIODICITE_MOIS (encodage ordinal : Mensuelle=1, Trimestrielle=3, Quadrimestrielle=4, Semestrielle=6, Annuelle=12) ; NBRE_ECHEANCES = durée / périodicité ; FLAG_PERIODICITE_MANQUANTE ; imputation médiane des 2 dérivées</t>
  </si>
  <si>
    <t xml:space="preserve">Sans uniformisation, la variable durée était incohérente entre dossiers. L'encodage ordinal (et non one-hot) respecte l'ordre économique : plus les échéances sont espacées, plus le risque de trésorerie entre deux paiements est élevé. DUREE_CONCOURS_MOIS et NBRE_ECHEANCES figurent dans le top 10 d'importance RF</t>
  </si>
  <si>
    <t xml:space="preserve">Encodage des variables catégorielles</t>
  </si>
  <si>
    <t xml:space="preserve">REGION_RC, REGION_TIERS, CENTRE_AFFAIRE, VILLE_RC, VILLE_TIERS</t>
  </si>
  <si>
    <t xml:space="preserve">Variables textuelles non exploitables ; cardinalité très hétérogène entre variables</t>
  </si>
  <si>
    <t xml:space="preserve">Faible cardinalité : REGION_RC 13 modalités, REGION_TIERS 13, CENTRE_AFFAIRE 8. Forte cardinalité : VILLE_RC 52 modalités, VILLE_TIERS 59 — soit 111 colonnes supplémentaires si one-hot, pour seulement 846 lignes</t>
  </si>
  <si>
    <t xml:space="preserve">One-hot encoding avec drop_first=True pour les 3 variables à faible cardinalité ; frequency encoding (VILLE_RC_FREQ, VILLE_TIERS_FREQ) pour les 2 variables à forte cardinalité</t>
  </si>
  <si>
    <t xml:space="preserve">drop_first évite la colinéarité parfaite entre dummies, qui rend la matrice X'X singulière et déstabilise les coefficients de la régression logistique. Le frequency encoding évite l'explosion dimensionnelle (111 colonnes pour 846 lignes = surapprentissage garanti) tout en gardant un signal : une ville rare signale un profil atypique</t>
  </si>
  <si>
    <t xml:space="preserve">Traitement du bloc « associé » (profil dirigeant / comportemental)</t>
  </si>
  <si>
    <t xml:space="preserve">AGE1-3, ANTP1-3, ENGA1-3, EXP1-3, LFAS1-3, LOCALE, NIVED1-3, NOTE11-14, PATR1-3, QALDE, RGI (28 variables)</t>
  </si>
  <si>
    <t xml:space="preserve">Bloc entier de variables manquant sur exactement les mêmes lignes — absence structurelle et non aléatoire</t>
  </si>
  <si>
    <t xml:space="preserve">227 lignes manquantes (26,8 %) identiques sur les 28 colonnes (vérification : masques de NaN strictement égaux). Taux de défaut si bloc manquant = 18,5 % contre 18,4 % si présent → aucun lien avec la cible</t>
  </si>
  <si>
    <t xml:space="preserve">Création de FLAG_PAS_ASSOCIE ; imputation par 0</t>
  </si>
  <si>
    <t xml:space="preserve">Le clivage correspond au segment TPE (comptabilité informelle, pas de scoring associé collecté) par opposition aux PME. Ces variables étant des scores/notes bornés, 0 traduit correctement « non applicable ». Une imputation par la médiane aurait inventé un profil de dirigeant plausible mais faux. Le taux de défaut identique confirme un clivage structurel et non un signal de risque caché</t>
  </si>
  <si>
    <t xml:space="preserve">Traitement du bloc financier (postes de bilan et de résultat)</t>
  </si>
  <si>
    <t xml:space="preserve">CU, CV, CW, DO, DU, ET, FF, FI, GI2, GI3, HA1, HA3-5, HDG, HP, HZ, JCX, KW, LP, LV, MC, MD, MP, MT, MU (26 variables)</t>
  </si>
  <si>
    <t xml:space="preserve">Bloc de postes comptables manquant sur un sous-ensemble proche mais non identique au bloc associé</t>
  </si>
  <si>
    <t xml:space="preserve">213 à 217 manquants selon la colonne, inclus dans les 227 lignes du bloc associé (0 ligne manquante hors de ce périmètre). Taux de défaut si bloc manquant = 18,8 % contre 18,3 % si présent</t>
  </si>
  <si>
    <t xml:space="preserve">Création de FLAG_DONNEES_FINANCIERES_MANQUANTES ; standardisation, imputation par KNNImputer (k=5), puis retour à l'échelle d'origine</t>
  </si>
  <si>
    <t xml:space="preserve">Traitement délibérément différent du bloc associé : un zéro n'est pas neutre ici (un total actif ou un chiffre d'affaires à 0 signifierait une entreprise sans activité, ce qui fausserait tous les ratios). KNN estime chaque poste à partir des dossiers financièrement similaires, préservant la cohérence du bilan. La standardisation préalable est indispensable car les postes vont de quelques centaines à 579 millions</t>
  </si>
  <si>
    <t xml:space="preserve">Suppression ciblée de dossiers non imputables</t>
  </si>
  <si>
    <t xml:space="preserve">TAUX_INTERET, PERIODICITE_MOIS</t>
  </si>
  <si>
    <t xml:space="preserve">Données contractuelles de crédit manquantes, non reconstituables de façon fiable</t>
  </si>
  <si>
    <t xml:space="preserve">8 dossiers concernés (0,9 % du portefeuille). Impact sur l'équilibre de la cible : 18,44 % de défaut avant, 18,62 % après</t>
  </si>
  <si>
    <t xml:space="preserve">dropna sur ces deux colonnes puis reset_index</t>
  </si>
  <si>
    <t xml:space="preserve">Le taux d'intérêt et la périodicité sont des termes contractuels : les imputer reviendrait à inventer les conditions du prêt. Le volume supprimé est négligeable et la distribution de la cible reste stable (+0,18 pt), donc aucun biais introduit</t>
  </si>
  <si>
    <t xml:space="preserve">Imputation des manquants résiduels isolés</t>
  </si>
  <si>
    <t xml:space="preserve">AGE_ENTREPRISE_ANS, VILLE_RC_FREQ, VILLE_TIERS_FREQ</t>
  </si>
  <si>
    <t xml:space="preserve">Manquants dispersés, sans structure de bloc</t>
  </si>
  <si>
    <t xml:space="preserve">AGE_ENTREPRISE_ANS : 26 manquants (3,1 %) ; VILLE_RC_FREQ : 41 (4,9 %) ; VILLE_TIERS_FREQ : 17 (2,0 %)</t>
  </si>
  <si>
    <t xml:space="preserve">Imputation par la médiane de chaque colonne</t>
  </si>
  <si>
    <t xml:space="preserve">Volumes faibles (&lt; 5 %) et absence de structure : une médiane est suffisante et n'introduit pas de distorsion notable. Un traitement plus lourd (KNN) ne se justifiait pas ici</t>
  </si>
  <si>
    <t xml:space="preserve">Winsorisation des variables continues</t>
  </si>
  <si>
    <t xml:space="preserve">Ensemble des variables numériques hors codes, flags, dummies et scores déjà bornés 0-100</t>
  </si>
  <si>
    <t xml:space="preserve">Échelles extrêmes sur les postes financiers, susceptibles de dominer l'apprentissage des modèles sensibles à l'échelle</t>
  </si>
  <si>
    <t xml:space="preserve">Amplitudes constatées avant traitement : CU jusqu'à 579 millions, CV jusqu'à 371 millions, DU jusqu'à 352 millions, contre des médianes de l'ordre de quelques millions</t>
  </si>
  <si>
    <t xml:space="preserve">Écrêtage aux 1er et 99e percentiles (clip), bornes conservées dans un dictionnaire pour réapplication ultérieure</t>
  </si>
  <si>
    <t xml:space="preserve">Exclusion explicite des identifiants sectoriels, des flags binaires et des dummies one-hot, qu'un écrêtage par percentile déformerait. La winsorisation neutralise l'influence disproportionnée de quelques dossiers extrêmes (souvent des erreurs de saisie comptable) sur la régression logistique et le réseau de neurones, sans supprimer de lignes</t>
  </si>
  <si>
    <t xml:space="preserve">Calcul des ratios financiers (grille RA1 à RA20)</t>
  </si>
  <si>
    <t xml:space="preserve">22 ratios créés à partir des postes de bilan winsorisés + EVOL_CA_N_N1, EVOL_CA_N1_N2</t>
  </si>
  <si>
    <t xml:space="preserve">Divisions par zéro sur les ratios rapportés au chiffre d'affaires ; explosion numérique des ratios quand le dénominateur est proche de zéro</t>
  </si>
  <si>
    <t xml:space="preserve">RGI (chiffre d'affaires) = 0 sur 268 lignes (32 %), dont 227 correspondent au segment TPE déjà identifié → 268 manquants sur RA2, RA4, RA7, RA11, RA14, RA16, RA17, RA19, RA20. 9 lignes avec RGI entre 1 et 1 000 produisaient des ratios absurdes : RA2 jusqu'à 5 374 694 jours, RA17 jusqu'à 5 millions de jours, EVOL_CA_N1_N2 jusqu'à 245 437 %</t>
  </si>
  <si>
    <t xml:space="preserve">Division sécurisée (dénominateur 0 remplacé par NaN) ; création d'un FLAG_&lt;ratio&gt;_NC par ratio ; écrêtage des ratios en jours à ±1 000 et des ratios en pourcentage à ±500</t>
  </si>
  <si>
    <t xml:space="preserve">Un fonds de roulement de 2,3 M rapporté à un chiffre d'affaires de 155 DH donne mécaniquement des millions de « jours » : valeur mathématiquement correcte mais économiquement absurde, qui aurait écrasé toute la distribution. Les flags conservent l'information « ratio non calculable » plutôt que de la faire disparaître dans une imputation. Bornes fixées sur des critères métier plutôt que statistiques</t>
  </si>
  <si>
    <t xml:space="preserve">Dataset final soumis à la modélisation</t>
  </si>
  <si>
    <t xml:space="preserve">Ensemble des variables</t>
  </si>
  <si>
    <t xml:space="preserve">Manquants résiduels concentrés sur les ratios non calculables du segment TPE</t>
  </si>
  <si>
    <t xml:space="preserve">838 lignes, 146 colonnes, 2 826 manquants résiduels (soit 2,3 % des cellules), tous localisés sur les ratios financiers et couverts par leurs flags. Taux de défaut : 18,62 % (156 défauts)</t>
  </si>
  <si>
    <t xml:space="preserve">Imputation médiane réalisée à l'intérieur de chaque pli de validation croisée (SimpleImputer ajusté sur le train uniquement), et non sur le dataset complet</t>
  </si>
  <si>
    <t xml:space="preserve">Imputer avant le découpage train/test ferait fuiter l'information du test vers l'apprentissage et surestimerait les performances. Le maintien des manquants dans le fichier final est donc volontaire : ils sont traités dans le pipeline, pas en amont</t>
  </si>
  <si>
    <t xml:space="preserve">Note</t>
  </si>
  <si>
    <t xml:space="preserve">Point de vigilance sur le protocole out-of-time</t>
  </si>
  <si>
    <t xml:space="preserve">DEFAUT (construction de la cible)</t>
  </si>
  <si>
    <t xml:space="preserve">Deux événements de défaut antérieurs au point d'observation du 31/12/2019</t>
  </si>
  <si>
    <t xml:space="preserve">Crédits 3051281 (MEJ demandée le 08/10/2019, accord du 23/01/2018) et 3056408 (MEJ du 11/07/2019, accord du 14/03/2018) : le défaut est déjà survenu à la date où l'analyste est censé décider</t>
  </si>
  <si>
    <t xml:space="preserve">Aucun retraitement appliqué à ce stade — dossiers conservés dans le périmètre</t>
  </si>
  <si>
    <t xml:space="preserve">Sur 156 défauts, ces 2 cas représentent 1,3 % et leur impact sur les métriques est marginal. Ils restent néanmoins incohérents avec le protocole : un dossier déjà en défaut au 31/12/2019 n'aurait pas été soumis à la décision d'octroi. Option à arbitrer : les exclure du périmètre, ou les conserver en le documentant explicitement</t>
  </si>
  <si>
    <t xml:space="preserve">Impact des transformations sur le pouvoir discriminant (AUC, validation croisée stratifiée 5 plis)</t>
  </si>
  <si>
    <t xml:space="preserve">Étape du prétraitement</t>
  </si>
  <si>
    <t xml:space="preserve">AUC Régression Logistique</t>
  </si>
  <si>
    <t xml:space="preserve">AUC Random Forest</t>
  </si>
  <si>
    <t xml:space="preserve">AUC Réseau de neurones (DNN)</t>
  </si>
  <si>
    <t xml:space="preserve">Gain AUC Logit vs état initial</t>
  </si>
  <si>
    <t xml:space="preserve">Gain AUC RF vs état initial</t>
  </si>
  <si>
    <t xml:space="preserve">Dataset brut (imputation médiane uniforme)</t>
  </si>
  <si>
    <t xml:space="preserve">+ Traitement séparé bloc associé / bloc financier</t>
  </si>
  <si>
    <t xml:space="preserve">+ Winsorisation et ratios financiers RA1-RA20</t>
  </si>
  <si>
    <t xml:space="preserve">Source des chiffres : validation croisée stratifiée 5 plis exécutée sur le dataset à chaque étape, au seuil de décision par défaut de 0,50. Les gains sont calculés par formule par rapport à la ligne « Dataset brut ».</t>
  </si>
</sst>
</file>

<file path=xl/styles.xml><?xml version="1.0" encoding="utf-8"?>
<styleSheet xmlns="http://schemas.openxmlformats.org/spreadsheetml/2006/main">
  <numFmts count="2">
    <numFmt numFmtId="164" formatCode="General"/>
    <numFmt numFmtId="165" formatCode="0.000"/>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2"/>
      <color rgb="FF1F3864"/>
      <name val="Arial"/>
      <family val="0"/>
      <charset val="1"/>
    </font>
    <font>
      <i val="true"/>
      <sz val="9"/>
      <color rgb="FF595959"/>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FFF2CC"/>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3" min="3" style="1" width="34"/>
    <col collapsed="false" customWidth="true" hidden="false" outlineLevel="0" max="4" min="4" style="1" width="40"/>
    <col collapsed="false" customWidth="true" hidden="false" outlineLevel="0" max="6" min="5" style="1" width="46"/>
    <col collapsed="false" customWidth="true" hidden="false" outlineLevel="0" max="7" min="7" style="1" width="58"/>
    <col collapsed="false" customWidth="true" hidden="false" outlineLevel="0" max="8" min="8" style="1" width="11"/>
    <col collapsed="false" customWidth="true" hidden="false" outlineLevel="0" max="9" min="9" style="1" width="12"/>
  </cols>
  <sheetData>
    <row r="1" customFormat="false" ht="42" hidden="false" customHeight="true" outlineLevel="0" collapsed="false">
      <c r="A1" s="2" t="s">
        <v>0</v>
      </c>
      <c r="B1" s="2" t="s">
        <v>1</v>
      </c>
      <c r="C1" s="2" t="s">
        <v>2</v>
      </c>
      <c r="D1" s="2" t="s">
        <v>3</v>
      </c>
      <c r="E1" s="2" t="s">
        <v>4</v>
      </c>
      <c r="F1" s="2" t="s">
        <v>5</v>
      </c>
      <c r="G1" s="2" t="s">
        <v>6</v>
      </c>
      <c r="H1" s="2" t="s">
        <v>7</v>
      </c>
      <c r="I1" s="2" t="s">
        <v>8</v>
      </c>
    </row>
    <row r="2" customFormat="false" ht="150" hidden="false" customHeight="true" outlineLevel="0" collapsed="false">
      <c r="A2" s="3" t="n">
        <v>1</v>
      </c>
      <c r="B2" s="4" t="s">
        <v>9</v>
      </c>
      <c r="C2" s="4" t="s">
        <v>10</v>
      </c>
      <c r="D2" s="4" t="s">
        <v>11</v>
      </c>
      <c r="E2" s="4" t="s">
        <v>12</v>
      </c>
      <c r="F2" s="4" t="s">
        <v>13</v>
      </c>
      <c r="G2" s="4" t="s">
        <v>14</v>
      </c>
      <c r="H2" s="3" t="n">
        <v>846</v>
      </c>
      <c r="I2" s="3" t="n">
        <v>79</v>
      </c>
    </row>
    <row r="3" customFormat="false" ht="117.75" hidden="false" customHeight="true" outlineLevel="0" collapsed="false">
      <c r="A3" s="5" t="n">
        <v>2</v>
      </c>
      <c r="B3" s="6" t="s">
        <v>15</v>
      </c>
      <c r="C3" s="6" t="s">
        <v>16</v>
      </c>
      <c r="D3" s="6" t="s">
        <v>17</v>
      </c>
      <c r="E3" s="6" t="s">
        <v>18</v>
      </c>
      <c r="F3" s="6" t="s">
        <v>19</v>
      </c>
      <c r="G3" s="6" t="s">
        <v>20</v>
      </c>
      <c r="H3" s="5" t="n">
        <v>846</v>
      </c>
      <c r="I3" s="5" t="n">
        <v>73</v>
      </c>
    </row>
    <row r="4" customFormat="false" ht="117.75" hidden="false" customHeight="true" outlineLevel="0" collapsed="false">
      <c r="A4" s="3" t="n">
        <v>3</v>
      </c>
      <c r="B4" s="4" t="s">
        <v>21</v>
      </c>
      <c r="C4" s="4" t="s">
        <v>22</v>
      </c>
      <c r="D4" s="4" t="s">
        <v>23</v>
      </c>
      <c r="E4" s="4" t="s">
        <v>24</v>
      </c>
      <c r="F4" s="4" t="s">
        <v>25</v>
      </c>
      <c r="G4" s="4" t="s">
        <v>26</v>
      </c>
      <c r="H4" s="3" t="n">
        <v>846</v>
      </c>
      <c r="I4" s="3" t="n">
        <v>71</v>
      </c>
    </row>
    <row r="5" customFormat="false" ht="117.75" hidden="false" customHeight="true" outlineLevel="0" collapsed="false">
      <c r="A5" s="5" t="n">
        <v>4</v>
      </c>
      <c r="B5" s="6" t="s">
        <v>27</v>
      </c>
      <c r="C5" s="6" t="s">
        <v>28</v>
      </c>
      <c r="D5" s="6" t="s">
        <v>29</v>
      </c>
      <c r="E5" s="6" t="s">
        <v>30</v>
      </c>
      <c r="F5" s="6" t="s">
        <v>31</v>
      </c>
      <c r="G5" s="6" t="s">
        <v>32</v>
      </c>
      <c r="H5" s="5" t="n">
        <v>846</v>
      </c>
      <c r="I5" s="5" t="n">
        <v>71</v>
      </c>
    </row>
    <row r="6" customFormat="false" ht="117.75" hidden="false" customHeight="true" outlineLevel="0" collapsed="false">
      <c r="A6" s="3" t="n">
        <v>5</v>
      </c>
      <c r="B6" s="4" t="s">
        <v>33</v>
      </c>
      <c r="C6" s="4" t="s">
        <v>34</v>
      </c>
      <c r="D6" s="4" t="s">
        <v>35</v>
      </c>
      <c r="E6" s="4" t="s">
        <v>36</v>
      </c>
      <c r="F6" s="4" t="s">
        <v>37</v>
      </c>
      <c r="G6" s="4" t="s">
        <v>38</v>
      </c>
      <c r="H6" s="3" t="n">
        <v>846</v>
      </c>
      <c r="I6" s="3" t="n">
        <v>101</v>
      </c>
    </row>
    <row r="7" customFormat="false" ht="117.75" hidden="false" customHeight="true" outlineLevel="0" collapsed="false">
      <c r="A7" s="5" t="n">
        <v>6</v>
      </c>
      <c r="B7" s="6" t="s">
        <v>39</v>
      </c>
      <c r="C7" s="6" t="s">
        <v>40</v>
      </c>
      <c r="D7" s="6" t="s">
        <v>41</v>
      </c>
      <c r="E7" s="6" t="s">
        <v>42</v>
      </c>
      <c r="F7" s="6" t="s">
        <v>43</v>
      </c>
      <c r="G7" s="6" t="s">
        <v>44</v>
      </c>
      <c r="H7" s="5" t="n">
        <v>846</v>
      </c>
      <c r="I7" s="5" t="n">
        <v>102</v>
      </c>
    </row>
    <row r="8" customFormat="false" ht="117.75" hidden="false" customHeight="true" outlineLevel="0" collapsed="false">
      <c r="A8" s="3" t="n">
        <v>7</v>
      </c>
      <c r="B8" s="4" t="s">
        <v>45</v>
      </c>
      <c r="C8" s="4" t="s">
        <v>46</v>
      </c>
      <c r="D8" s="4" t="s">
        <v>47</v>
      </c>
      <c r="E8" s="4" t="s">
        <v>48</v>
      </c>
      <c r="F8" s="4" t="s">
        <v>49</v>
      </c>
      <c r="G8" s="4" t="s">
        <v>50</v>
      </c>
      <c r="H8" s="3" t="n">
        <v>846</v>
      </c>
      <c r="I8" s="3" t="n">
        <v>103</v>
      </c>
    </row>
    <row r="9" customFormat="false" ht="117.75" hidden="false" customHeight="true" outlineLevel="0" collapsed="false">
      <c r="A9" s="5" t="n">
        <v>8</v>
      </c>
      <c r="B9" s="6" t="s">
        <v>51</v>
      </c>
      <c r="C9" s="6" t="s">
        <v>52</v>
      </c>
      <c r="D9" s="6" t="s">
        <v>53</v>
      </c>
      <c r="E9" s="6" t="s">
        <v>54</v>
      </c>
      <c r="F9" s="6" t="s">
        <v>55</v>
      </c>
      <c r="G9" s="6" t="s">
        <v>56</v>
      </c>
      <c r="H9" s="5" t="n">
        <v>838</v>
      </c>
      <c r="I9" s="5" t="n">
        <v>103</v>
      </c>
    </row>
    <row r="10" customFormat="false" ht="117.75" hidden="false" customHeight="true" outlineLevel="0" collapsed="false">
      <c r="A10" s="3" t="n">
        <v>9</v>
      </c>
      <c r="B10" s="4" t="s">
        <v>57</v>
      </c>
      <c r="C10" s="4" t="s">
        <v>58</v>
      </c>
      <c r="D10" s="4" t="s">
        <v>59</v>
      </c>
      <c r="E10" s="4" t="s">
        <v>60</v>
      </c>
      <c r="F10" s="4" t="s">
        <v>61</v>
      </c>
      <c r="G10" s="4" t="s">
        <v>62</v>
      </c>
      <c r="H10" s="3" t="n">
        <v>838</v>
      </c>
      <c r="I10" s="3" t="n">
        <v>103</v>
      </c>
    </row>
    <row r="11" customFormat="false" ht="117.75" hidden="false" customHeight="true" outlineLevel="0" collapsed="false">
      <c r="A11" s="5" t="n">
        <v>10</v>
      </c>
      <c r="B11" s="6" t="s">
        <v>63</v>
      </c>
      <c r="C11" s="6" t="s">
        <v>64</v>
      </c>
      <c r="D11" s="6" t="s">
        <v>65</v>
      </c>
      <c r="E11" s="6" t="s">
        <v>66</v>
      </c>
      <c r="F11" s="6" t="s">
        <v>67</v>
      </c>
      <c r="G11" s="6" t="s">
        <v>68</v>
      </c>
      <c r="H11" s="5" t="n">
        <v>838</v>
      </c>
      <c r="I11" s="5" t="n">
        <v>103</v>
      </c>
    </row>
    <row r="12" customFormat="false" ht="117.75" hidden="false" customHeight="true" outlineLevel="0" collapsed="false">
      <c r="A12" s="3" t="n">
        <v>11</v>
      </c>
      <c r="B12" s="4" t="s">
        <v>69</v>
      </c>
      <c r="C12" s="4" t="s">
        <v>70</v>
      </c>
      <c r="D12" s="4" t="s">
        <v>71</v>
      </c>
      <c r="E12" s="4" t="s">
        <v>72</v>
      </c>
      <c r="F12" s="4" t="s">
        <v>73</v>
      </c>
      <c r="G12" s="4" t="s">
        <v>74</v>
      </c>
      <c r="H12" s="3" t="n">
        <v>838</v>
      </c>
      <c r="I12" s="3" t="n">
        <v>146</v>
      </c>
    </row>
    <row r="13" customFormat="false" ht="117.75" hidden="false" customHeight="true" outlineLevel="0" collapsed="false">
      <c r="A13" s="5" t="n">
        <v>12</v>
      </c>
      <c r="B13" s="6" t="s">
        <v>75</v>
      </c>
      <c r="C13" s="6" t="s">
        <v>76</v>
      </c>
      <c r="D13" s="6" t="s">
        <v>77</v>
      </c>
      <c r="E13" s="6" t="s">
        <v>78</v>
      </c>
      <c r="F13" s="6" t="s">
        <v>79</v>
      </c>
      <c r="G13" s="6" t="s">
        <v>80</v>
      </c>
      <c r="H13" s="5" t="n">
        <v>838</v>
      </c>
      <c r="I13" s="5" t="n">
        <v>146</v>
      </c>
    </row>
    <row r="14" customFormat="false" ht="117.75" hidden="false" customHeight="true" outlineLevel="0" collapsed="false">
      <c r="A14" s="7" t="s">
        <v>81</v>
      </c>
      <c r="B14" s="8" t="s">
        <v>82</v>
      </c>
      <c r="C14" s="8" t="s">
        <v>83</v>
      </c>
      <c r="D14" s="8" t="s">
        <v>84</v>
      </c>
      <c r="E14" s="8" t="s">
        <v>85</v>
      </c>
      <c r="F14" s="8" t="s">
        <v>86</v>
      </c>
      <c r="G14" s="8" t="s">
        <v>87</v>
      </c>
      <c r="H14" s="7" t="n">
        <v>838</v>
      </c>
      <c r="I14" s="7" t="n">
        <v>146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22"/>
    <col collapsed="false" customWidth="true" hidden="false" outlineLevel="0" max="3" min="3" style="1" width="20"/>
    <col collapsed="false" customWidth="true" hidden="false" outlineLevel="0" max="6" min="4" style="1" width="24"/>
  </cols>
  <sheetData>
    <row r="1" customFormat="false" ht="15" hidden="false" customHeight="true" outlineLevel="0" collapsed="false">
      <c r="A1" s="9" t="s">
        <v>88</v>
      </c>
      <c r="B1" s="9"/>
      <c r="C1" s="9"/>
      <c r="D1" s="9"/>
      <c r="E1" s="9"/>
      <c r="F1" s="9"/>
    </row>
    <row r="3" customFormat="false" ht="42" hidden="false" customHeight="true" outlineLevel="0" collapsed="false">
      <c r="A3" s="2" t="s">
        <v>89</v>
      </c>
      <c r="B3" s="2" t="s">
        <v>90</v>
      </c>
      <c r="C3" s="2" t="s">
        <v>91</v>
      </c>
      <c r="D3" s="2" t="s">
        <v>92</v>
      </c>
      <c r="E3" s="2" t="s">
        <v>93</v>
      </c>
      <c r="F3" s="2" t="s">
        <v>94</v>
      </c>
    </row>
    <row r="4" customFormat="false" ht="30" hidden="false" customHeight="true" outlineLevel="0" collapsed="false">
      <c r="A4" s="6" t="s">
        <v>95</v>
      </c>
      <c r="B4" s="10" t="n">
        <v>0.618</v>
      </c>
      <c r="C4" s="10" t="n">
        <v>0.708</v>
      </c>
      <c r="D4" s="10" t="n">
        <v>0.643</v>
      </c>
      <c r="E4" s="10" t="n">
        <f aca="false">B4-$B$4</f>
        <v>0</v>
      </c>
      <c r="F4" s="10" t="n">
        <f aca="false">C4-$C$4</f>
        <v>0</v>
      </c>
    </row>
    <row r="5" customFormat="false" ht="30" hidden="false" customHeight="true" outlineLevel="0" collapsed="false">
      <c r="A5" s="6" t="s">
        <v>96</v>
      </c>
      <c r="B5" s="10" t="n">
        <v>0.658</v>
      </c>
      <c r="C5" s="10" t="n">
        <v>0.729</v>
      </c>
      <c r="D5" s="10" t="n">
        <v>0.644</v>
      </c>
      <c r="E5" s="10" t="n">
        <f aca="false">B5-$B$4</f>
        <v>0.04</v>
      </c>
      <c r="F5" s="10" t="n">
        <f aca="false">C5-$C$4</f>
        <v>0.021</v>
      </c>
    </row>
    <row r="6" customFormat="false" ht="30" hidden="false" customHeight="true" outlineLevel="0" collapsed="false">
      <c r="A6" s="6" t="s">
        <v>97</v>
      </c>
      <c r="B6" s="10" t="n">
        <v>0.684</v>
      </c>
      <c r="C6" s="10" t="n">
        <v>0.733</v>
      </c>
      <c r="D6" s="10" t="n">
        <v>0.673</v>
      </c>
      <c r="E6" s="10" t="n">
        <f aca="false">B6-$B$4</f>
        <v>0.0660000000000001</v>
      </c>
      <c r="F6" s="10" t="n">
        <f aca="false">C6-$C$4</f>
        <v>0.025</v>
      </c>
    </row>
    <row r="8" customFormat="false" ht="30" hidden="false" customHeight="true" outlineLevel="0" collapsed="false">
      <c r="A8" s="11" t="s">
        <v>98</v>
      </c>
      <c r="B8" s="11"/>
      <c r="C8" s="11"/>
      <c r="D8" s="11"/>
      <c r="E8" s="11"/>
      <c r="F8" s="11"/>
    </row>
  </sheetData>
  <mergeCells count="2">
    <mergeCell ref="A1:F1"/>
    <mergeCell ref="A8:F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2026-07-21T07:29:50Z</dcterms:created>
  <dc:creator>openpyxl</dc:creator>
  <dc:description/>
  <dc:language>en-US</dc:language>
  <cp:lastModifiedBy/>
  <dcterms:modified xsi:type="dcterms:W3CDTF">2026-07-21T07:33:04Z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